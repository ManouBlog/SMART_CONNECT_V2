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50" windowHeight="6920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<sst xmlns="http://schemas.openxmlformats.org/spreadsheetml/2006/main" count="8" uniqueCount="8">
  <si>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Jan</t>
  </si>
  <si>
    <t>Fev</t>
  </si>
  <si>
    <t>Mar</t>
  </si>
  <si>
    <t>Avr</t>
  </si>
  <si>
    <t>Total</t>
  </si>
  <si>
    <t>Open</t>
  </si>
  <si>
    <t>Resolved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</si>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</sst>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  <numFmt numFmtId="178" formatCode="0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178" fontId="0" fillId="0" borderId="0" xfId="0" applyNumberFormat="1"/>
    <xf numFmtId="9" fontId="0" fillId="0" borderId="0" xfId="0" applyNumberFormat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fr-FR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Feuil1!$B$2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Feuil1!$C$1:$F$1</c:f>
              <c:strCache>
                <c:ptCount val="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Avr</c:v>
                </c:pt>
              </c:strCache>
            </c:strRef>
          </c:cat>
          <c:val>
            <c:numRef>
              <c:f>Feuil1!$C$2:$F$2</c:f>
              <c:numCache>
                <c:formatCode>General</c:formatCode>
                <c:ptCount val="4"/>
                <c:pt idx="0">
                  <c:v>10</c:v>
                </c:pt>
                <c:pt idx="1">
                  <c:v>8</c:v>
                </c:pt>
                <c:pt idx="2">
                  <c:v>15</c:v>
                </c:pt>
                <c:pt idx="3">
                  <c:v>22</c:v>
                </c:pt>
              </c:numCache>
            </c:numRef>
          </c:val>
        </c:ser>
        <c:ser>
          <c:idx val="1"/>
          <c:order val="1"/>
          <c:tx>
            <c:strRef>
              <c:f>Feuil1!$B$3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Feuil1!$C$1:$F$1</c:f>
              <c:strCache>
                <c:ptCount val="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Avr</c:v>
                </c:pt>
              </c:strCache>
            </c:strRef>
          </c:cat>
          <c:val>
            <c:numRef>
              <c:f>Feuil1!$C$3:$F$3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5</c:v>
                </c:pt>
                <c:pt idx="3">
                  <c:v>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5134136"/>
        <c:axId val="405131512"/>
      </c:barChart>
      <c:lineChart>
        <c:grouping val="stacked"/>
        <c:varyColors val="0"/>
        <c:ser>
          <c:idx val="2"/>
          <c:order val="2"/>
          <c:tx>
            <c:strRef>
              <c:f>Feuil1!$B$4</c:f>
              <c:strCache>
                <c:ptCount val="1"/>
                <c:pt idx="0">
                  <c:v>Resolved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fr-FR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Feuil1!$C$1:$F$1</c:f>
              <c:strCache>
                <c:ptCount val="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Avr</c:v>
                </c:pt>
              </c:strCache>
            </c:strRef>
          </c:cat>
          <c:val>
            <c:numRef>
              <c:f>Feuil1!$C$4:$F$4</c:f>
              <c:numCache>
                <c:formatCode>0_ </c:formatCode>
                <c:ptCount val="4"/>
                <c:pt idx="0">
                  <c:v>0.8</c:v>
                </c:pt>
                <c:pt idx="1">
                  <c:v>0.875</c:v>
                </c:pt>
                <c:pt idx="2">
                  <c:v>0.666666666666667</c:v>
                </c:pt>
                <c:pt idx="3">
                  <c:v>0.681818181818182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05134136"/>
        <c:axId val="405131512"/>
      </c:lineChart>
      <c:lineChart>
        <c:grouping val="stacked"/>
        <c:varyColors val="0"/>
        <c:ser>
          <c:idx val="3"/>
          <c:order val="3"/>
          <c:tx>
            <c:strRef>
              <c:f>Feuil1!$B$5</c:f>
              <c:strCache>
                <c:ptCount val="1"/>
                <c:pt idx="0">
                  <c:v>Closed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fr-FR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Feuil1!$C$1:$F$1</c:f>
              <c:strCache>
                <c:ptCount val="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Avr</c:v>
                </c:pt>
              </c:strCache>
            </c:strRef>
          </c:cat>
          <c:val>
            <c:numRef>
              <c:f>Feuil1!$C$5:$F$5</c:f>
              <c:numCache>
                <c:formatCode>0%</c:formatCode>
                <c:ptCount val="4"/>
                <c:pt idx="0">
                  <c:v>0.7</c:v>
                </c:pt>
                <c:pt idx="1">
                  <c:v>0.625</c:v>
                </c:pt>
                <c:pt idx="2">
                  <c:v>0.666666666666667</c:v>
                </c:pt>
                <c:pt idx="3">
                  <c:v>0.590909090909091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7128984"/>
        <c:axId val="411250000"/>
      </c:lineChart>
      <c:catAx>
        <c:axId val="405134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5131512"/>
        <c:crosses val="autoZero"/>
        <c:auto val="1"/>
        <c:lblAlgn val="ctr"/>
        <c:lblOffset val="100"/>
        <c:noMultiLvlLbl val="0"/>
      </c:catAx>
      <c:valAx>
        <c:axId val="405131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5134136"/>
        <c:crosses val="autoZero"/>
        <c:crossBetween val="between"/>
      </c:valAx>
      <c:catAx>
        <c:axId val="4071289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1250000"/>
        <c:crosses val="autoZero"/>
        <c:auto val="1"/>
        <c:lblAlgn val="ctr"/>
        <c:lblOffset val="100"/>
        <c:noMultiLvlLbl val="0"/>
      </c:catAx>
      <c:valAx>
        <c:axId val="41125000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7128984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fr-FR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fd5602f-86f2-4e52-b1aa-43ca94ef5ce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fr-FR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619125</xdr:colOff>
      <xdr:row>0</xdr:row>
      <xdr:rowOff>130175</xdr:rowOff>
    </xdr:from>
    <xdr:to>
      <xdr:col>12</xdr:col>
      <xdr:colOff>619125</xdr:colOff>
      <xdr:row>15</xdr:row>
      <xdr:rowOff>111125</xdr:rowOff>
    </xdr:to>
    <xdr:graphicFrame>
      <xdr:nvGraphicFramePr>
        <xdr:cNvPr id="2" name="Graphique 1"/>
        <xdr:cNvGraphicFramePr/>
      </xdr:nvGraphicFramePr>
      <xdr:xfrm>
        <a:off x="5229225" y="130175"/>
        <a:ext cx="46101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5"/>
  <sheetViews>
    <sheetView tabSelected="1" workbookViewId="0">
      <selection activeCell="C4" sqref="C4:F4"/>
    </sheetView>
  </sheetViews>
  <sheetFormatPr defaultColWidth="11" defaultRowHeight="14.5" outlineLevelRow="4" outlineLevelCol="5"/>
  <sheetData>
    <row r="1" spans="3:6">
      <c r="C1" t="s">
        <v>0</v>
      </c>
      <c r="D1" t="s">
        <v>1</v>
      </c>
      <c r="E1" t="s">
        <v>2</v>
      </c>
      <c r="F1" t="s">
        <v>3</v>
      </c>
    </row>
    <row r="2" spans="2:6">
      <c r="B2" t="s">
        <v>4</v>
      </c>
      <c r="C2">
        <v>10</v>
      </c>
      <c r="D2">
        <v>8</v>
      </c>
      <c r="E2">
        <v>15</v>
      </c>
      <c r="F2">
        <v>22</v>
      </c>
    </row>
    <row r="3" spans="2:6">
      <c r="B3" t="s">
        <v>5</v>
      </c>
      <c r="C3">
        <v>2</v>
      </c>
      <c r="D3">
        <v>1</v>
      </c>
      <c r="E3">
        <v>5</v>
      </c>
      <c r="F3">
        <v>7</v>
      </c>
    </row>
    <row r="4" spans="2:6">
      <c r="B4" t="s">
        <v>6</v>
      </c>
      <c r="C4" s="1">
        <f>(C2-C3)/C2</f>
        <v>0.8</v>
      </c>
      <c r="D4" s="1">
        <f t="shared" ref="D4:F4" si="0">(D2-D3)/D2</f>
        <v>0.875</v>
      </c>
      <c r="E4" s="1">
        <f t="shared" si="0"/>
        <v>0.666666666666667</v>
      </c>
      <c r="F4" s="1">
        <f t="shared" si="0"/>
        <v>0.681818181818182</v>
      </c>
    </row>
    <row r="5" spans="2:6">
      <c r="B5" t="s">
        <v>7</v>
      </c>
      <c r="C5" s="2">
        <f>7/C2</f>
        <v>0.7</v>
      </c>
      <c r="D5" s="2">
        <f>5/D2</f>
        <v>0.625</v>
      </c>
      <c r="E5" s="2">
        <f>10/E2</f>
        <v>0.666666666666667</v>
      </c>
      <c r="F5" s="2">
        <f>13/F2</f>
        <v>0.590909090909091</v>
      </c>
    </row>
  </sheetData>
  <pageMargins left="0.7" right="0.7" top="0.75" bottom="0.75" header="0.3" footer="0.3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COULIBALY LONAN</dc:creator>
  <cp:lastModifiedBy>LENOVO</cp:lastModifiedBy>
  <dcterms:created xsi:type="dcterms:W3CDTF">2026-03-11T11:56:00Z</dcterms:created>
  <dcterms:modified xsi:type="dcterms:W3CDTF">2026-03-18T15:11:42Z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0C189A4318FF44FF90B8770F57DD5F6B_12</vt:lpwstr>
  </property>
  <property fmtid="{D5CDD505-2E9C-101B-9397-08002B2CF9AE}" pid="3" name="KSOProductBuildVer">
    <vt:lpwstr>1036-12.2.0.23196</vt:lpwstr>
  </property>
</Properties>
</file>